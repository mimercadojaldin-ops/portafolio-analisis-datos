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xecutive" sheetId="1" state="visible" r:id="rId1"/>
    <sheet xmlns:r="http://schemas.openxmlformats.org/officeDocument/2006/relationships" name="Datos_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color rgb="001A202C"/>
      <sz val="10"/>
    </font>
    <font>
      <name val="Arial"/>
      <b val="1"/>
      <color rgb="001A202C"/>
      <sz val="10"/>
    </font>
    <font>
      <name val="Arial"/>
      <b val="1"/>
      <color rgb="004A5568"/>
      <sz val="9"/>
    </font>
    <font>
      <name val="Arial"/>
      <b val="1"/>
      <color rgb="001F3A60"/>
      <sz val="18"/>
    </font>
    <font>
      <name val="Arial"/>
      <b val="1"/>
      <color rgb="001F3A60"/>
      <sz val="12"/>
    </font>
  </fonts>
  <fills count="6">
    <fill>
      <patternFill/>
    </fill>
    <fill>
      <patternFill patternType="gray125"/>
    </fill>
    <fill>
      <patternFill patternType="solid">
        <fgColor rgb="001F3A60"/>
        <bgColor rgb="001F3A60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F0F4F8"/>
        <bgColor rgb="00F0F4F8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CBD5E0"/>
      </top>
      <bottom style="double">
        <color rgb="001F3A6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Totales por Región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Executive'!C9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Executive'!$A$10:$A$13</f>
            </numRef>
          </cat>
          <val>
            <numRef>
              <f>'Resumen Executive'!$C$10:$C$13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62" customWidth="1" min="2" max="2"/>
    <col width="62" customWidth="1" min="3" max="3"/>
    <col width="18" customWidth="1" min="4" max="4"/>
    <col width="36" customWidth="1" min="5" max="5"/>
    <col width="14" customWidth="1" min="6" max="6"/>
    <col width="14" customWidth="1" min="7" max="7"/>
  </cols>
  <sheetData>
    <row r="1" ht="40" customHeight="1">
      <c r="A1" s="1" t="inlineStr">
        <is>
          <t>DASHBOARD DE RENDIMIENTO - PORTAFOLIO DE DATOS</t>
        </is>
      </c>
    </row>
    <row r="2">
      <c r="A2" s="2" t="inlineStr">
        <is>
          <t>Análisis preparado por: Matias Ignacio | Proyecto de Ejemplo para GitHub</t>
        </is>
      </c>
    </row>
    <row r="3"/>
    <row r="4">
      <c r="A4" s="3" t="inlineStr">
        <is>
          <t>TOTAL VENTAS ($)</t>
        </is>
      </c>
      <c r="B4" s="4" t="n"/>
      <c r="C4" s="3" t="inlineStr">
        <is>
          <t>UNIDADES VENDIDAS</t>
        </is>
      </c>
      <c r="D4" s="4" t="n"/>
      <c r="E4" s="3" t="inlineStr">
        <is>
          <t>TICKET PROMEDIO</t>
        </is>
      </c>
      <c r="F4" s="4" t="n"/>
    </row>
    <row r="5">
      <c r="A5" s="5">
        <f>Datos_Ventas!H24</f>
        <v/>
      </c>
      <c r="B5" s="4" t="n"/>
      <c r="C5" s="6">
        <f>Datos_Ventas!F24</f>
        <v/>
      </c>
      <c r="D5" s="4" t="n"/>
      <c r="E5" s="5">
        <f>A5/COUNTA(Datos_Ventas!A4:A23)</f>
        <v/>
      </c>
      <c r="F5" s="4" t="n"/>
    </row>
    <row r="6"/>
    <row r="7"/>
    <row r="8">
      <c r="A8" s="7" t="inlineStr">
        <is>
          <t>RESUMEN POR REGIÓN</t>
        </is>
      </c>
    </row>
    <row r="9">
      <c r="A9" s="8" t="inlineStr">
        <is>
          <t>Región</t>
        </is>
      </c>
      <c r="B9" s="8" t="inlineStr">
        <is>
          <t>Unidades</t>
        </is>
      </c>
      <c r="C9" s="8" t="inlineStr">
        <is>
          <t>Ventas Totales ($)</t>
        </is>
      </c>
      <c r="D9" s="8" t="inlineStr">
        <is>
          <t>% del Total</t>
        </is>
      </c>
    </row>
    <row r="10">
      <c r="A10" s="9" t="inlineStr">
        <is>
          <t>Norte</t>
        </is>
      </c>
      <c r="B10" s="10">
        <f>SUMIF(Datos_Ventas!E$4:E$23, A10, Datos_Ventas!F$4:F$23)</f>
        <v/>
      </c>
      <c r="C10" s="11">
        <f>SUMIF(Datos_Ventas!E$4:E$23, A10, Datos_Ventas!H$4:H$23)</f>
        <v/>
      </c>
      <c r="D10" s="12">
        <f>C10/$A$5</f>
        <v/>
      </c>
    </row>
    <row r="11">
      <c r="A11" s="9" t="inlineStr">
        <is>
          <t>Sur</t>
        </is>
      </c>
      <c r="B11" s="10">
        <f>SUMIF(Datos_Ventas!E$4:E$23, A11, Datos_Ventas!F$4:F$23)</f>
        <v/>
      </c>
      <c r="C11" s="11">
        <f>SUMIF(Datos_Ventas!E$4:E$23, A11, Datos_Ventas!H$4:H$23)</f>
        <v/>
      </c>
      <c r="D11" s="12">
        <f>C11/$A$5</f>
        <v/>
      </c>
    </row>
    <row r="12">
      <c r="A12" s="9" t="inlineStr">
        <is>
          <t>Este</t>
        </is>
      </c>
      <c r="B12" s="10">
        <f>SUMIF(Datos_Ventas!E$4:E$23, A12, Datos_Ventas!F$4:F$23)</f>
        <v/>
      </c>
      <c r="C12" s="11">
        <f>SUMIF(Datos_Ventas!E$4:E$23, A12, Datos_Ventas!H$4:H$23)</f>
        <v/>
      </c>
      <c r="D12" s="12">
        <f>C12/$A$5</f>
        <v/>
      </c>
    </row>
    <row r="13">
      <c r="A13" s="9" t="inlineStr">
        <is>
          <t>Oeste</t>
        </is>
      </c>
      <c r="B13" s="10">
        <f>SUMIF(Datos_Ventas!E$4:E$23, A13, Datos_Ventas!F$4:F$23)</f>
        <v/>
      </c>
      <c r="C13" s="11">
        <f>SUMIF(Datos_Ventas!E$4:E$23, A13, Datos_Ventas!H$4:H$23)</f>
        <v/>
      </c>
      <c r="D13" s="12">
        <f>C13/$A$5</f>
        <v/>
      </c>
    </row>
    <row r="14">
      <c r="A14" s="13" t="inlineStr">
        <is>
          <t>Total</t>
        </is>
      </c>
      <c r="B14" s="14">
        <f>SUM(B10:B13)</f>
        <v/>
      </c>
      <c r="C14" s="15">
        <f>SUM(C10:C13)</f>
        <v/>
      </c>
      <c r="D14" s="16">
        <f>SUM(D10:D13)</f>
        <v/>
      </c>
    </row>
  </sheetData>
  <mergeCells count="8">
    <mergeCell ref="A4:B4"/>
    <mergeCell ref="E4:F4"/>
    <mergeCell ref="A1:G1"/>
    <mergeCell ref="C5:D5"/>
    <mergeCell ref="A5:B5"/>
    <mergeCell ref="E5:F5"/>
    <mergeCell ref="A2:G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33" customWidth="1" min="4" max="4"/>
    <col width="14" customWidth="1" min="5" max="5"/>
    <col width="17" customWidth="1" min="6" max="6"/>
    <col width="24" customWidth="1" min="7" max="7"/>
    <col width="23" customWidth="1" min="8" max="8"/>
  </cols>
  <sheetData>
    <row r="1" ht="40" customHeight="1">
      <c r="A1" s="1" t="inlineStr">
        <is>
          <t>REGISTRO DE VENTAS TECNOLÓGICAS - 2026</t>
        </is>
      </c>
    </row>
    <row r="2"/>
    <row r="3" ht="25" customHeight="1">
      <c r="A3" s="8" t="inlineStr">
        <is>
          <t>ID Transacción</t>
        </is>
      </c>
      <c r="B3" s="8" t="inlineStr">
        <is>
          <t>Fecha</t>
        </is>
      </c>
      <c r="C3" s="8" t="inlineStr">
        <is>
          <t>Categoría</t>
        </is>
      </c>
      <c r="D3" s="8" t="inlineStr">
        <is>
          <t>Producto</t>
        </is>
      </c>
      <c r="E3" s="8" t="inlineStr">
        <is>
          <t>Región</t>
        </is>
      </c>
      <c r="F3" s="8" t="inlineStr">
        <is>
          <t>Unidades</t>
        </is>
      </c>
      <c r="G3" s="8" t="inlineStr">
        <is>
          <t>Precio Unitario ($)</t>
        </is>
      </c>
      <c r="H3" s="8" t="inlineStr">
        <is>
          <t>Ventas Totales ($)</t>
        </is>
      </c>
    </row>
    <row r="4">
      <c r="A4" s="9" t="inlineStr">
        <is>
          <t>TRX-1001</t>
        </is>
      </c>
      <c r="B4" s="9" t="inlineStr">
        <is>
          <t>2026-01-05</t>
        </is>
      </c>
      <c r="C4" s="17" t="inlineStr">
        <is>
          <t>Computadores</t>
        </is>
      </c>
      <c r="D4" s="17" t="inlineStr">
        <is>
          <t>Laptop Pro 15</t>
        </is>
      </c>
      <c r="E4" s="9" t="inlineStr">
        <is>
          <t>Norte</t>
        </is>
      </c>
      <c r="F4" s="10" t="n">
        <v>5</v>
      </c>
      <c r="G4" s="11" t="n">
        <v>1200</v>
      </c>
      <c r="H4" s="11">
        <f>F4*G4</f>
        <v/>
      </c>
    </row>
    <row r="5">
      <c r="A5" s="18" t="inlineStr">
        <is>
          <t>TRX-1002</t>
        </is>
      </c>
      <c r="B5" s="18" t="inlineStr">
        <is>
          <t>2026-01-08</t>
        </is>
      </c>
      <c r="C5" s="19" t="inlineStr">
        <is>
          <t>Accesorios</t>
        </is>
      </c>
      <c r="D5" s="19" t="inlineStr">
        <is>
          <t>Teclado Mecánico</t>
        </is>
      </c>
      <c r="E5" s="18" t="inlineStr">
        <is>
          <t>Sur</t>
        </is>
      </c>
      <c r="F5" s="20" t="n">
        <v>12</v>
      </c>
      <c r="G5" s="21" t="n">
        <v>85</v>
      </c>
      <c r="H5" s="21">
        <f>F5*G5</f>
        <v/>
      </c>
    </row>
    <row r="6">
      <c r="A6" s="9" t="inlineStr">
        <is>
          <t>TRX-1003</t>
        </is>
      </c>
      <c r="B6" s="9" t="inlineStr">
        <is>
          <t>2026-01-10</t>
        </is>
      </c>
      <c r="C6" s="17" t="inlineStr">
        <is>
          <t>Monitores</t>
        </is>
      </c>
      <c r="D6" s="17" t="inlineStr">
        <is>
          <t>Monitor 27'' UHD</t>
        </is>
      </c>
      <c r="E6" s="9" t="inlineStr">
        <is>
          <t>Este</t>
        </is>
      </c>
      <c r="F6" s="10" t="n">
        <v>8</v>
      </c>
      <c r="G6" s="11" t="n">
        <v>350</v>
      </c>
      <c r="H6" s="11">
        <f>F6*G6</f>
        <v/>
      </c>
    </row>
    <row r="7">
      <c r="A7" s="18" t="inlineStr">
        <is>
          <t>TRX-1004</t>
        </is>
      </c>
      <c r="B7" s="18" t="inlineStr">
        <is>
          <t>2026-01-12</t>
        </is>
      </c>
      <c r="C7" s="19" t="inlineStr">
        <is>
          <t>Audio</t>
        </is>
      </c>
      <c r="D7" s="19" t="inlineStr">
        <is>
          <t>Auriculares Noise-Cancelling</t>
        </is>
      </c>
      <c r="E7" s="18" t="inlineStr">
        <is>
          <t>Oeste</t>
        </is>
      </c>
      <c r="F7" s="20" t="n">
        <v>15</v>
      </c>
      <c r="G7" s="21" t="n">
        <v>150</v>
      </c>
      <c r="H7" s="21">
        <f>F7*G7</f>
        <v/>
      </c>
    </row>
    <row r="8">
      <c r="A8" s="9" t="inlineStr">
        <is>
          <t>TRX-1005</t>
        </is>
      </c>
      <c r="B8" s="9" t="inlineStr">
        <is>
          <t>2026-01-15</t>
        </is>
      </c>
      <c r="C8" s="17" t="inlineStr">
        <is>
          <t>Computadores</t>
        </is>
      </c>
      <c r="D8" s="17" t="inlineStr">
        <is>
          <t>Laptop Slim 13</t>
        </is>
      </c>
      <c r="E8" s="9" t="inlineStr">
        <is>
          <t>Norte</t>
        </is>
      </c>
      <c r="F8" s="10" t="n">
        <v>3</v>
      </c>
      <c r="G8" s="11" t="n">
        <v>950</v>
      </c>
      <c r="H8" s="11">
        <f>F8*G8</f>
        <v/>
      </c>
    </row>
    <row r="9">
      <c r="A9" s="18" t="inlineStr">
        <is>
          <t>TRX-1006</t>
        </is>
      </c>
      <c r="B9" s="18" t="inlineStr">
        <is>
          <t>2026-01-18</t>
        </is>
      </c>
      <c r="C9" s="19" t="inlineStr">
        <is>
          <t>Smartwatches</t>
        </is>
      </c>
      <c r="D9" s="19" t="inlineStr">
        <is>
          <t>Reloj Deportivo GPS</t>
        </is>
      </c>
      <c r="E9" s="18" t="inlineStr">
        <is>
          <t>Sur</t>
        </is>
      </c>
      <c r="F9" s="20" t="n">
        <v>20</v>
      </c>
      <c r="G9" s="21" t="n">
        <v>210</v>
      </c>
      <c r="H9" s="21">
        <f>F9*G9</f>
        <v/>
      </c>
    </row>
    <row r="10">
      <c r="A10" s="9" t="inlineStr">
        <is>
          <t>TRX-1007</t>
        </is>
      </c>
      <c r="B10" s="9" t="inlineStr">
        <is>
          <t>2026-01-20</t>
        </is>
      </c>
      <c r="C10" s="17" t="inlineStr">
        <is>
          <t>Monitores</t>
        </is>
      </c>
      <c r="D10" s="17" t="inlineStr">
        <is>
          <t>Monitor Curvo 34''</t>
        </is>
      </c>
      <c r="E10" s="9" t="inlineStr">
        <is>
          <t>Norte</t>
        </is>
      </c>
      <c r="F10" s="10" t="n">
        <v>4</v>
      </c>
      <c r="G10" s="11" t="n">
        <v>650</v>
      </c>
      <c r="H10" s="11">
        <f>F10*G10</f>
        <v/>
      </c>
    </row>
    <row r="11">
      <c r="A11" s="18" t="inlineStr">
        <is>
          <t>TRX-1008</t>
        </is>
      </c>
      <c r="B11" s="18" t="inlineStr">
        <is>
          <t>2026-01-22</t>
        </is>
      </c>
      <c r="C11" s="19" t="inlineStr">
        <is>
          <t>Accesorios</t>
        </is>
      </c>
      <c r="D11" s="19" t="inlineStr">
        <is>
          <t>Mouse Ergonómico</t>
        </is>
      </c>
      <c r="E11" s="18" t="inlineStr">
        <is>
          <t>Este</t>
        </is>
      </c>
      <c r="F11" s="20" t="n">
        <v>25</v>
      </c>
      <c r="G11" s="21" t="n">
        <v>45</v>
      </c>
      <c r="H11" s="21">
        <f>F11*G11</f>
        <v/>
      </c>
    </row>
    <row r="12">
      <c r="A12" s="9" t="inlineStr">
        <is>
          <t>TRX-1009</t>
        </is>
      </c>
      <c r="B12" s="9" t="inlineStr">
        <is>
          <t>2026-01-25</t>
        </is>
      </c>
      <c r="C12" s="17" t="inlineStr">
        <is>
          <t>Audio</t>
        </is>
      </c>
      <c r="D12" s="17" t="inlineStr">
        <is>
          <t>Parlante Bluetooth</t>
        </is>
      </c>
      <c r="E12" s="9" t="inlineStr">
        <is>
          <t>Oeste</t>
        </is>
      </c>
      <c r="F12" s="10" t="n">
        <v>10</v>
      </c>
      <c r="G12" s="11" t="n">
        <v>110</v>
      </c>
      <c r="H12" s="11">
        <f>F12*G12</f>
        <v/>
      </c>
    </row>
    <row r="13">
      <c r="A13" s="18" t="inlineStr">
        <is>
          <t>TRX-1010</t>
        </is>
      </c>
      <c r="B13" s="18" t="inlineStr">
        <is>
          <t>2026-01-28</t>
        </is>
      </c>
      <c r="C13" s="19" t="inlineStr">
        <is>
          <t>Computadores</t>
        </is>
      </c>
      <c r="D13" s="19" t="inlineStr">
        <is>
          <t>Desktop Gaming</t>
        </is>
      </c>
      <c r="E13" s="18" t="inlineStr">
        <is>
          <t>Sur</t>
        </is>
      </c>
      <c r="F13" s="20" t="n">
        <v>2</v>
      </c>
      <c r="G13" s="21" t="n">
        <v>1800</v>
      </c>
      <c r="H13" s="21">
        <f>F13*G13</f>
        <v/>
      </c>
    </row>
    <row r="14">
      <c r="A14" s="9" t="inlineStr">
        <is>
          <t>TRX-1011</t>
        </is>
      </c>
      <c r="B14" s="9" t="inlineStr">
        <is>
          <t>2026-02-02</t>
        </is>
      </c>
      <c r="C14" s="17" t="inlineStr">
        <is>
          <t>Smartwatches</t>
        </is>
      </c>
      <c r="D14" s="17" t="inlineStr">
        <is>
          <t>Smartband Fitness</t>
        </is>
      </c>
      <c r="E14" s="9" t="inlineStr">
        <is>
          <t>Norte</t>
        </is>
      </c>
      <c r="F14" s="10" t="n">
        <v>30</v>
      </c>
      <c r="G14" s="11" t="n">
        <v>50</v>
      </c>
      <c r="H14" s="11">
        <f>F14*G14</f>
        <v/>
      </c>
    </row>
    <row r="15">
      <c r="A15" s="18" t="inlineStr">
        <is>
          <t>TRX-1012</t>
        </is>
      </c>
      <c r="B15" s="18" t="inlineStr">
        <is>
          <t>2026-02-05</t>
        </is>
      </c>
      <c r="C15" s="19" t="inlineStr">
        <is>
          <t>Accesorios</t>
        </is>
      </c>
      <c r="D15" s="19" t="inlineStr">
        <is>
          <t>Hub USB-C 8 en 1</t>
        </is>
      </c>
      <c r="E15" s="18" t="inlineStr">
        <is>
          <t>Este</t>
        </is>
      </c>
      <c r="F15" s="20" t="n">
        <v>18</v>
      </c>
      <c r="G15" s="21" t="n">
        <v>65</v>
      </c>
      <c r="H15" s="21">
        <f>F15*G15</f>
        <v/>
      </c>
    </row>
    <row r="16">
      <c r="A16" s="9" t="inlineStr">
        <is>
          <t>TRX-1013</t>
        </is>
      </c>
      <c r="B16" s="9" t="inlineStr">
        <is>
          <t>2026-02-08</t>
        </is>
      </c>
      <c r="C16" s="17" t="inlineStr">
        <is>
          <t>Monitores</t>
        </is>
      </c>
      <c r="D16" s="17" t="inlineStr">
        <is>
          <t>Monitor 27'' UHD</t>
        </is>
      </c>
      <c r="E16" s="9" t="inlineStr">
        <is>
          <t>Oeste</t>
        </is>
      </c>
      <c r="F16" s="10" t="n">
        <v>6</v>
      </c>
      <c r="G16" s="11" t="n">
        <v>350</v>
      </c>
      <c r="H16" s="11">
        <f>F16*G16</f>
        <v/>
      </c>
    </row>
    <row r="17">
      <c r="A17" s="18" t="inlineStr">
        <is>
          <t>TRX-1014</t>
        </is>
      </c>
      <c r="B17" s="18" t="inlineStr">
        <is>
          <t>2026-02-12</t>
        </is>
      </c>
      <c r="C17" s="19" t="inlineStr">
        <is>
          <t>Computadores</t>
        </is>
      </c>
      <c r="D17" s="19" t="inlineStr">
        <is>
          <t>Laptop Pro 15</t>
        </is>
      </c>
      <c r="E17" s="18" t="inlineStr">
        <is>
          <t>Sur</t>
        </is>
      </c>
      <c r="F17" s="20" t="n">
        <v>4</v>
      </c>
      <c r="G17" s="21" t="n">
        <v>1200</v>
      </c>
      <c r="H17" s="21">
        <f>F17*G17</f>
        <v/>
      </c>
    </row>
    <row r="18">
      <c r="A18" s="9" t="inlineStr">
        <is>
          <t>TRX-1015</t>
        </is>
      </c>
      <c r="B18" s="9" t="inlineStr">
        <is>
          <t>2026-02-15</t>
        </is>
      </c>
      <c r="C18" s="17" t="inlineStr">
        <is>
          <t>Audio</t>
        </is>
      </c>
      <c r="D18" s="17" t="inlineStr">
        <is>
          <t>Auriculares Noise-Cancelling</t>
        </is>
      </c>
      <c r="E18" s="9" t="inlineStr">
        <is>
          <t>Norte</t>
        </is>
      </c>
      <c r="F18" s="10" t="n">
        <v>9</v>
      </c>
      <c r="G18" s="11" t="n">
        <v>150</v>
      </c>
      <c r="H18" s="11">
        <f>F18*G18</f>
        <v/>
      </c>
    </row>
    <row r="19">
      <c r="A19" s="18" t="inlineStr">
        <is>
          <t>TRX-1016</t>
        </is>
      </c>
      <c r="B19" s="18" t="inlineStr">
        <is>
          <t>2026-02-18</t>
        </is>
      </c>
      <c r="C19" s="19" t="inlineStr">
        <is>
          <t>Smartwatches</t>
        </is>
      </c>
      <c r="D19" s="19" t="inlineStr">
        <is>
          <t>Reloj Deportivo GPS</t>
        </is>
      </c>
      <c r="E19" s="18" t="inlineStr">
        <is>
          <t>Este</t>
        </is>
      </c>
      <c r="F19" s="20" t="n">
        <v>14</v>
      </c>
      <c r="G19" s="21" t="n">
        <v>210</v>
      </c>
      <c r="H19" s="21">
        <f>F19*G19</f>
        <v/>
      </c>
    </row>
    <row r="20">
      <c r="A20" s="9" t="inlineStr">
        <is>
          <t>TRX-1017</t>
        </is>
      </c>
      <c r="B20" s="9" t="inlineStr">
        <is>
          <t>2026-02-20</t>
        </is>
      </c>
      <c r="C20" s="17" t="inlineStr">
        <is>
          <t>Accesorios</t>
        </is>
      </c>
      <c r="D20" s="17" t="inlineStr">
        <is>
          <t>Teclado Mecánico</t>
        </is>
      </c>
      <c r="E20" s="9" t="inlineStr">
        <is>
          <t>Oeste</t>
        </is>
      </c>
      <c r="F20" s="10" t="n">
        <v>10</v>
      </c>
      <c r="G20" s="11" t="n">
        <v>85</v>
      </c>
      <c r="H20" s="11">
        <f>F20*G20</f>
        <v/>
      </c>
    </row>
    <row r="21">
      <c r="A21" s="18" t="inlineStr">
        <is>
          <t>TRX-1018</t>
        </is>
      </c>
      <c r="B21" s="18" t="inlineStr">
        <is>
          <t>2026-02-22</t>
        </is>
      </c>
      <c r="C21" s="19" t="inlineStr">
        <is>
          <t>Computadores</t>
        </is>
      </c>
      <c r="D21" s="19" t="inlineStr">
        <is>
          <t>Laptop Slim 13</t>
        </is>
      </c>
      <c r="E21" s="18" t="inlineStr">
        <is>
          <t>Sur</t>
        </is>
      </c>
      <c r="F21" s="20" t="n">
        <v>7</v>
      </c>
      <c r="G21" s="21" t="n">
        <v>950</v>
      </c>
      <c r="H21" s="21">
        <f>F21*G21</f>
        <v/>
      </c>
    </row>
    <row r="22">
      <c r="A22" s="9" t="inlineStr">
        <is>
          <t>TRX-1019</t>
        </is>
      </c>
      <c r="B22" s="9" t="inlineStr">
        <is>
          <t>2026-02-25</t>
        </is>
      </c>
      <c r="C22" s="17" t="inlineStr">
        <is>
          <t>Monitores</t>
        </is>
      </c>
      <c r="D22" s="17" t="inlineStr">
        <is>
          <t>Monitor Curvo 34''</t>
        </is>
      </c>
      <c r="E22" s="9" t="inlineStr">
        <is>
          <t>Este</t>
        </is>
      </c>
      <c r="F22" s="10" t="n">
        <v>5</v>
      </c>
      <c r="G22" s="11" t="n">
        <v>650</v>
      </c>
      <c r="H22" s="11">
        <f>F22*G22</f>
        <v/>
      </c>
    </row>
    <row r="23">
      <c r="A23" s="18" t="inlineStr">
        <is>
          <t>TRX-1020</t>
        </is>
      </c>
      <c r="B23" s="18" t="inlineStr">
        <is>
          <t>2026-02-27</t>
        </is>
      </c>
      <c r="C23" s="19" t="inlineStr">
        <is>
          <t>Audio</t>
        </is>
      </c>
      <c r="D23" s="19" t="inlineStr">
        <is>
          <t>Parlante Bluetooth</t>
        </is>
      </c>
      <c r="E23" s="18" t="inlineStr">
        <is>
          <t>Norte</t>
        </is>
      </c>
      <c r="F23" s="20" t="n">
        <v>12</v>
      </c>
      <c r="G23" s="21" t="n">
        <v>110</v>
      </c>
      <c r="H23" s="21">
        <f>F23*G23</f>
        <v/>
      </c>
    </row>
    <row r="24">
      <c r="A24" s="22" t="inlineStr">
        <is>
          <t>TOTAL GENERAL</t>
        </is>
      </c>
      <c r="B24" s="23" t="n"/>
      <c r="C24" s="23" t="n"/>
      <c r="D24" s="23" t="n"/>
      <c r="E24" s="23" t="n"/>
      <c r="F24" s="14">
        <f>SUM(F4:F23)</f>
        <v/>
      </c>
      <c r="G24" s="23" t="n"/>
      <c r="H24" s="15">
        <f>SUM(H4:H23)</f>
        <v/>
      </c>
    </row>
  </sheetData>
  <mergeCells count="2">
    <mergeCell ref="A24:E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2026-08-24T18:34:10Z</dcterms:created>
  <dcterms:modified xmlns:dcterms="http://purl.org/dc/terms/" xmlns:xsi="http://www.w3.org/2001/XMLSchema-instance" xsi:type="dcterms:W3CDTF">2026-08-24T18:34:10Z</dcterms:modified>
</cp:coreProperties>
</file>